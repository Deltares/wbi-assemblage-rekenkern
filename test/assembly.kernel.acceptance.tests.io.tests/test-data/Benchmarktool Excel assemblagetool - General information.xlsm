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wbi-assemblage-rekenkern\test\assembly.kernel.acceptance.tests.io.tests\test-data\"/>
    </mc:Choice>
  </mc:AlternateContent>
  <xr:revisionPtr revIDLastSave="0" documentId="13_ncr:1_{CDFB5ADE-39EF-47B5-8C84-171AE5A39B4D}" xr6:coauthVersionLast="41" xr6:coauthVersionMax="41" xr10:uidLastSave="{00000000-0000-0000-0000-000000000000}"/>
  <bookViews>
    <workbookView xWindow="28680" yWindow="-120" windowWidth="29040" windowHeight="15840" tabRatio="758" xr2:uid="{00000000-000D-0000-FFFF-FFFF00000000}"/>
  </bookViews>
  <sheets>
    <sheet name="Trajectgegevens" sheetId="5" r:id="rId1"/>
  </sheets>
  <externalReferences>
    <externalReference r:id="rId2"/>
  </externalReferences>
  <definedNames>
    <definedName name="FAALKANSBEGROTING_DIJKEN_GABU">[1]Faalkansbegroting!#REF!</definedName>
    <definedName name="TRAJECT_KOLOM_TRAJECT_ID_LIJST">[1]Trajecten!$B$2:$B$236</definedName>
    <definedName name="TRAJECTGEGEVENS_NormBijNietSluiten">[1]Trajectgegevens!#REF!</definedName>
    <definedName name="TRAJECTGEGEVENS_NormBijNietSluitenKans">[1]Trajectgegevens!#REF!</definedName>
    <definedName name="TRAJECTGEGEVENS_NormToenameHydraulischeBelasting">[1]Trajectgegevens!#REF!</definedName>
    <definedName name="TRAJECTGEGEVENS_NormToenameHydraulischeBelastingKans">[1]Trajectgegevens!#REF!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5" l="1"/>
  <c r="B18" i="5" s="1"/>
  <c r="C18" i="5"/>
  <c r="B19" i="5" s="1"/>
  <c r="C20" i="5"/>
  <c r="B21" i="5" s="1"/>
  <c r="C19" i="5"/>
  <c r="B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 Sun Lam</author>
  </authors>
  <commentList>
    <comment ref="B1" authorId="0" shapeId="0" xr:uid="{00000000-0006-0000-0200-000001000000}">
      <text>
        <r>
          <rPr>
            <sz val="9"/>
            <color indexed="81"/>
            <rFont val="Tahoma"/>
            <family val="2"/>
          </rPr>
          <t>De opzet is gelijk aan deze versie van de assemblagetool.</t>
        </r>
      </text>
    </comment>
    <comment ref="B4" authorId="0" shapeId="0" xr:uid="{00000000-0006-0000-0200-000002000000}">
      <text>
        <r>
          <rPr>
            <sz val="9"/>
            <color indexed="81"/>
            <rFont val="Tahoma"/>
            <family val="2"/>
          </rPr>
          <t>Kies het dijktraject uit dropdownmenu met dijktrajecten</t>
        </r>
      </text>
    </comment>
    <comment ref="B5" authorId="0" shapeId="0" xr:uid="{00000000-0006-0000-0200-000003000000}">
      <text>
        <r>
          <rPr>
            <sz val="9"/>
            <color indexed="81"/>
            <rFont val="Tahoma"/>
            <family val="2"/>
          </rPr>
          <t>de trajectlengte wordt als default gegeven, maar moet door de gebruiker gecorrigeerd worden als deze onjuist is.</t>
        </r>
      </text>
    </comment>
    <comment ref="A12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Kin Sun Lam:</t>
        </r>
        <r>
          <rPr>
            <sz val="9"/>
            <color indexed="81"/>
            <rFont val="Tahoma"/>
            <family val="2"/>
          </rPr>
          <t xml:space="preserve">
Norm bij toename van de hydraulische belasting door een maatregel voor het vergroten van afvoer- of bergingscapaciteit van een watersysteem</t>
        </r>
      </text>
    </comment>
  </commentList>
</comments>
</file>

<file path=xl/sharedStrings.xml><?xml version="1.0" encoding="utf-8"?>
<sst xmlns="http://schemas.openxmlformats.org/spreadsheetml/2006/main" count="37" uniqueCount="28">
  <si>
    <t>Onderdeel van dijkring</t>
  </si>
  <si>
    <t>22-1</t>
  </si>
  <si>
    <t>Eiland van Dordrecht (22)</t>
  </si>
  <si>
    <t>Overstromingskans</t>
  </si>
  <si>
    <t xml:space="preserve">Type veiligheidsnorm </t>
  </si>
  <si>
    <t>Normering</t>
  </si>
  <si>
    <t>Categorie</t>
  </si>
  <si>
    <t>A+</t>
  </si>
  <si>
    <t>bovengrens</t>
  </si>
  <si>
    <t>ondergrens</t>
  </si>
  <si>
    <t>Signaleringswaarde [terugkeertijd]</t>
  </si>
  <si>
    <t>/jaar</t>
  </si>
  <si>
    <t>ofwel</t>
  </si>
  <si>
    <t>Ondergrens [terugkeertijd]</t>
  </si>
  <si>
    <t>Norm bij niet-sluiten [terugkeertijd]</t>
  </si>
  <si>
    <t>Norm bij toename hydraulische belasting  [terugkeertijd]</t>
  </si>
  <si>
    <t>Dijktraject</t>
  </si>
  <si>
    <t>Categoriegrenzen veiligheidsoordeel</t>
  </si>
  <si>
    <t>A</t>
  </si>
  <si>
    <t>B</t>
  </si>
  <si>
    <t>C</t>
  </si>
  <si>
    <t>D</t>
  </si>
  <si>
    <t/>
  </si>
  <si>
    <t>Algemene trajectgegevens</t>
  </si>
  <si>
    <t>Trajectlengte [m]</t>
  </si>
  <si>
    <t>Versie Assemblagetool</t>
  </si>
  <si>
    <t>1.0.1.0</t>
  </si>
  <si>
    <t>Beschrijving categoriegrenzen veiligheidsoordeel uit Rapport Assemblageprotocol WBI2017, d.d. 23 juni 2016, Deltares.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</si>
</sst>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7">
    <xf numFmtId="0" fontId="0" fillId="0" borderId="0" xfId="0"/>
    <xf numFmtId="1" fontId="0" fillId="0" borderId="0" xfId="0" applyNumberFormat="1" applyBorder="1"/>
    <xf numFmtId="0" fontId="0" fillId="0" borderId="0" xfId="0" applyBorder="1"/>
    <xf numFmtId="49" fontId="0" fillId="0" borderId="0" xfId="0" applyNumberFormat="1" applyBorder="1"/>
    <xf numFmtId="0" fontId="16" fillId="0" borderId="0" xfId="0" applyFont="1"/>
    <xf numFmtId="0" fontId="0" fillId="0" borderId="0" xfId="0"/>
    <xf numFmtId="0" fontId="0" fillId="0" borderId="0" xfId="0" applyFill="1"/>
    <xf numFmtId="0" fontId="0" fillId="0" borderId="16" xfId="0" applyBorder="1"/>
    <xf numFmtId="0" fontId="0" fillId="0" borderId="11" xfId="0" applyFont="1" applyBorder="1"/>
    <xf numFmtId="0" fontId="0" fillId="0" borderId="10" xfId="0" applyFont="1" applyBorder="1"/>
    <xf numFmtId="0" fontId="0" fillId="0" borderId="14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0" xfId="0" applyBorder="1" applyAlignment="1">
      <alignment horizontal="center"/>
    </xf>
    <xf numFmtId="0" fontId="0" fillId="0" borderId="17" xfId="0" quotePrefix="1" applyBorder="1"/>
    <xf numFmtId="0" fontId="0" fillId="0" borderId="14" xfId="0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quotePrefix="1" applyBorder="1"/>
    <xf numFmtId="11" fontId="0" fillId="0" borderId="0" xfId="0" applyNumberFormat="1" applyBorder="1"/>
    <xf numFmtId="11" fontId="0" fillId="0" borderId="15" xfId="0" applyNumberFormat="1" applyBorder="1"/>
    <xf numFmtId="0" fontId="0" fillId="0" borderId="17" xfId="0" applyBorder="1"/>
    <xf numFmtId="0" fontId="0" fillId="0" borderId="0" xfId="0" applyFont="1" applyBorder="1"/>
    <xf numFmtId="1" fontId="0" fillId="33" borderId="0" xfId="0" applyNumberFormat="1" applyFill="1" applyBorder="1" applyAlignment="1">
      <alignment horizontal="left"/>
    </xf>
    <xf numFmtId="0" fontId="20" fillId="0" borderId="11" xfId="0" applyFont="1" applyBorder="1"/>
    <xf numFmtId="0" fontId="20" fillId="0" borderId="12" xfId="0" applyFont="1" applyBorder="1"/>
    <xf numFmtId="0" fontId="20" fillId="0" borderId="13" xfId="0" applyFont="1" applyBorder="1"/>
    <xf numFmtId="11" fontId="0" fillId="0" borderId="17" xfId="0" applyNumberFormat="1" applyFill="1" applyBorder="1"/>
    <xf numFmtId="11" fontId="0" fillId="0" borderId="0" xfId="0" applyNumberFormat="1" applyFill="1" applyBorder="1"/>
    <xf numFmtId="11" fontId="0" fillId="0" borderId="15" xfId="0" applyNumberFormat="1" applyFill="1" applyBorder="1"/>
    <xf numFmtId="1" fontId="0" fillId="0" borderId="16" xfId="0" applyNumberFormat="1" applyFill="1" applyBorder="1"/>
    <xf numFmtId="0" fontId="0" fillId="0" borderId="10" xfId="0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4" xfId="0" applyFill="1" applyBorder="1" applyAlignment="1">
      <alignment wrapText="1"/>
    </xf>
    <xf numFmtId="49" fontId="0" fillId="33" borderId="12" xfId="0" applyNumberFormat="1" applyFill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6" tint="-0.24994659260841701"/>
        </patternFill>
      </fill>
    </dxf>
    <dxf>
      <fill>
        <patternFill>
          <bgColor rgb="FF00FF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-0.24994659260841701"/>
        </patternFill>
      </fill>
    </dxf>
    <dxf>
      <fill>
        <patternFill>
          <bgColor rgb="FF00FF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99FF"/>
      <color rgb="FFFF0000"/>
      <color rgb="FFFF9900"/>
      <color rgb="FFFFFF00"/>
      <color rgb="FF7693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4</xdr:col>
      <xdr:colOff>113429</xdr:colOff>
      <xdr:row>63</xdr:row>
      <xdr:rowOff>46691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629150"/>
          <a:ext cx="6971429" cy="74761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eltares-my.sharepoint.com/personal/kinsun_lam_deltares_nl/Documents/Werkbestanden/WBI/2019/Assemblagekernel/def%201.0.1.0/Assemblagetool%20WBI2017%20v1.0.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es"/>
      <sheetName val="Toetsinvoer per toets"/>
      <sheetName val="Trajectgegevens"/>
      <sheetName val="Faalkansbegroting"/>
      <sheetName val="STBI"/>
      <sheetName val="STBU"/>
      <sheetName val="STPH"/>
      <sheetName val="STMI"/>
      <sheetName val="AGK"/>
      <sheetName val="AWO"/>
      <sheetName val="GEBU"/>
      <sheetName val="GABU"/>
      <sheetName val="GEKB"/>
      <sheetName val="GABI"/>
      <sheetName val="ZST"/>
      <sheetName val="DA"/>
      <sheetName val="HTKW"/>
      <sheetName val="BSKW"/>
      <sheetName val="PKW"/>
      <sheetName val="STKWp"/>
      <sheetName val="STKWl"/>
      <sheetName val="VLGA"/>
      <sheetName val="VLAF"/>
      <sheetName val="VLZV"/>
      <sheetName val="NWObe"/>
      <sheetName val="NWObo"/>
      <sheetName val="NWOkl"/>
      <sheetName val="NWOoc"/>
      <sheetName val="HAV"/>
      <sheetName val="INN"/>
      <sheetName val="Gecombineerd veiligheidsoordeel"/>
      <sheetName val="Gecombineerd totaal vakoordeel"/>
      <sheetName val="Gecombineerd totaal kw-oordeel"/>
      <sheetName val="Toetssporen"/>
      <sheetName val="Toetsspooreigenschappen"/>
      <sheetName val="Trajecten"/>
      <sheetName val="Trajecteigenschapp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2">
          <cell r="B2" t="str">
            <v>1-1</v>
          </cell>
        </row>
        <row r="3">
          <cell r="B3" t="str">
            <v>1-2</v>
          </cell>
        </row>
        <row r="4">
          <cell r="B4" t="str">
            <v>2-1</v>
          </cell>
        </row>
        <row r="5">
          <cell r="B5" t="str">
            <v>2-2</v>
          </cell>
        </row>
        <row r="6">
          <cell r="B6" t="str">
            <v>3-1</v>
          </cell>
        </row>
        <row r="7">
          <cell r="B7" t="str">
            <v>3-2</v>
          </cell>
        </row>
        <row r="8">
          <cell r="B8" t="str">
            <v>4-1</v>
          </cell>
        </row>
        <row r="9">
          <cell r="B9" t="str">
            <v>4-2</v>
          </cell>
        </row>
        <row r="10">
          <cell r="B10" t="str">
            <v>5-1</v>
          </cell>
        </row>
        <row r="11">
          <cell r="B11" t="str">
            <v>5-2</v>
          </cell>
        </row>
        <row r="12">
          <cell r="B12" t="str">
            <v>6-1</v>
          </cell>
        </row>
        <row r="13">
          <cell r="B13" t="str">
            <v>6-2</v>
          </cell>
        </row>
        <row r="14">
          <cell r="B14" t="str">
            <v>6-3</v>
          </cell>
        </row>
        <row r="15">
          <cell r="B15" t="str">
            <v>6-4</v>
          </cell>
        </row>
        <row r="16">
          <cell r="B16" t="str">
            <v>6-5</v>
          </cell>
        </row>
        <row r="17">
          <cell r="B17" t="str">
            <v>6-6</v>
          </cell>
        </row>
        <row r="18">
          <cell r="B18" t="str">
            <v>6-7</v>
          </cell>
        </row>
        <row r="19">
          <cell r="B19" t="str">
            <v>7-1</v>
          </cell>
        </row>
        <row r="20">
          <cell r="B20" t="str">
            <v>7-2</v>
          </cell>
        </row>
        <row r="21">
          <cell r="B21" t="str">
            <v>8-1</v>
          </cell>
        </row>
        <row r="22">
          <cell r="B22" t="str">
            <v>8-2</v>
          </cell>
        </row>
        <row r="23">
          <cell r="B23" t="str">
            <v>8-3</v>
          </cell>
        </row>
        <row r="24">
          <cell r="B24" t="str">
            <v>8-4</v>
          </cell>
        </row>
        <row r="25">
          <cell r="B25" t="str">
            <v>8-5</v>
          </cell>
        </row>
        <row r="26">
          <cell r="B26" t="str">
            <v>8-6</v>
          </cell>
        </row>
        <row r="27">
          <cell r="B27" t="str">
            <v>8-7</v>
          </cell>
        </row>
        <row r="28">
          <cell r="B28" t="str">
            <v>9-1</v>
          </cell>
        </row>
        <row r="29">
          <cell r="B29" t="str">
            <v>9-2</v>
          </cell>
        </row>
        <row r="30">
          <cell r="B30" t="str">
            <v>10-1</v>
          </cell>
        </row>
        <row r="31">
          <cell r="B31" t="str">
            <v>10-2</v>
          </cell>
        </row>
        <row r="32">
          <cell r="B32" t="str">
            <v>10-3</v>
          </cell>
        </row>
        <row r="33">
          <cell r="B33" t="str">
            <v>11-1</v>
          </cell>
        </row>
        <row r="34">
          <cell r="B34" t="str">
            <v>11-2</v>
          </cell>
        </row>
        <row r="35">
          <cell r="B35" t="str">
            <v>11-3</v>
          </cell>
        </row>
        <row r="36">
          <cell r="B36" t="str">
            <v>12-1</v>
          </cell>
        </row>
        <row r="37">
          <cell r="B37" t="str">
            <v>12-2</v>
          </cell>
        </row>
        <row r="38">
          <cell r="B38" t="str">
            <v>13-1</v>
          </cell>
        </row>
        <row r="39">
          <cell r="B39" t="str">
            <v>13-2</v>
          </cell>
        </row>
        <row r="40">
          <cell r="B40" t="str">
            <v>13-3</v>
          </cell>
        </row>
        <row r="41">
          <cell r="B41" t="str">
            <v>13-4</v>
          </cell>
        </row>
        <row r="42">
          <cell r="B42" t="str">
            <v>13-5</v>
          </cell>
        </row>
        <row r="43">
          <cell r="B43" t="str">
            <v>13-6</v>
          </cell>
        </row>
        <row r="44">
          <cell r="B44" t="str">
            <v>13-7</v>
          </cell>
        </row>
        <row r="45">
          <cell r="B45" t="str">
            <v>13-8</v>
          </cell>
        </row>
        <row r="46">
          <cell r="B46" t="str">
            <v>13-9</v>
          </cell>
        </row>
        <row r="47">
          <cell r="B47" t="str">
            <v>13a-1</v>
          </cell>
        </row>
        <row r="48">
          <cell r="B48" t="str">
            <v>13b-1</v>
          </cell>
        </row>
        <row r="49">
          <cell r="B49" t="str">
            <v>14-1</v>
          </cell>
        </row>
        <row r="50">
          <cell r="B50" t="str">
            <v>14-2</v>
          </cell>
        </row>
        <row r="51">
          <cell r="B51" t="str">
            <v>14-3</v>
          </cell>
        </row>
        <row r="52">
          <cell r="B52" t="str">
            <v>14-4</v>
          </cell>
        </row>
        <row r="53">
          <cell r="B53" t="str">
            <v>14-5</v>
          </cell>
        </row>
        <row r="54">
          <cell r="B54" t="str">
            <v>14-6</v>
          </cell>
        </row>
        <row r="55">
          <cell r="B55" t="str">
            <v>14-7</v>
          </cell>
        </row>
        <row r="56">
          <cell r="B56" t="str">
            <v>14-8</v>
          </cell>
        </row>
        <row r="57">
          <cell r="B57" t="str">
            <v>14-9</v>
          </cell>
        </row>
        <row r="58">
          <cell r="B58" t="str">
            <v>14-10</v>
          </cell>
        </row>
        <row r="59">
          <cell r="B59" t="str">
            <v>15-1</v>
          </cell>
        </row>
        <row r="60">
          <cell r="B60" t="str">
            <v>15-2</v>
          </cell>
        </row>
        <row r="61">
          <cell r="B61" t="str">
            <v>15-3</v>
          </cell>
        </row>
        <row r="62">
          <cell r="B62" t="str">
            <v>16-1</v>
          </cell>
        </row>
        <row r="63">
          <cell r="B63" t="str">
            <v>16-2</v>
          </cell>
        </row>
        <row r="64">
          <cell r="B64" t="str">
            <v>16-3</v>
          </cell>
        </row>
        <row r="65">
          <cell r="B65" t="str">
            <v>16-4</v>
          </cell>
        </row>
        <row r="66">
          <cell r="B66" t="str">
            <v>16-5</v>
          </cell>
        </row>
        <row r="67">
          <cell r="B67" t="str">
            <v>17-1</v>
          </cell>
        </row>
        <row r="68">
          <cell r="B68" t="str">
            <v>17-2</v>
          </cell>
        </row>
        <row r="69">
          <cell r="B69" t="str">
            <v>17-3</v>
          </cell>
        </row>
        <row r="70">
          <cell r="B70" t="str">
            <v>18-1</v>
          </cell>
        </row>
        <row r="71">
          <cell r="B71" t="str">
            <v>19-1</v>
          </cell>
        </row>
        <row r="72">
          <cell r="B72" t="str">
            <v>20-1</v>
          </cell>
        </row>
        <row r="73">
          <cell r="B73" t="str">
            <v>20-2</v>
          </cell>
        </row>
        <row r="74">
          <cell r="B74" t="str">
            <v>20-3</v>
          </cell>
        </row>
        <row r="75">
          <cell r="B75" t="str">
            <v>20-4</v>
          </cell>
        </row>
        <row r="76">
          <cell r="B76" t="str">
            <v>21-1</v>
          </cell>
        </row>
        <row r="77">
          <cell r="B77" t="str">
            <v>21-2</v>
          </cell>
        </row>
        <row r="78">
          <cell r="B78" t="str">
            <v>22-1</v>
          </cell>
        </row>
        <row r="79">
          <cell r="B79" t="str">
            <v>22-2</v>
          </cell>
        </row>
        <row r="80">
          <cell r="B80" t="str">
            <v>23-1</v>
          </cell>
        </row>
        <row r="81">
          <cell r="B81" t="str">
            <v>24-1</v>
          </cell>
        </row>
        <row r="82">
          <cell r="B82" t="str">
            <v>24-2</v>
          </cell>
        </row>
        <row r="83">
          <cell r="B83" t="str">
            <v>24-3</v>
          </cell>
        </row>
        <row r="84">
          <cell r="B84" t="str">
            <v>25-1</v>
          </cell>
        </row>
        <row r="85">
          <cell r="B85" t="str">
            <v>25-2</v>
          </cell>
        </row>
        <row r="86">
          <cell r="B86" t="str">
            <v>25-3</v>
          </cell>
        </row>
        <row r="87">
          <cell r="B87" t="str">
            <v>25-4</v>
          </cell>
        </row>
        <row r="88">
          <cell r="B88" t="str">
            <v>26-1</v>
          </cell>
        </row>
        <row r="89">
          <cell r="B89" t="str">
            <v>26-2</v>
          </cell>
        </row>
        <row r="90">
          <cell r="B90" t="str">
            <v>26-3</v>
          </cell>
        </row>
        <row r="91">
          <cell r="B91" t="str">
            <v>26-4</v>
          </cell>
        </row>
        <row r="92">
          <cell r="B92" t="str">
            <v>27-1</v>
          </cell>
        </row>
        <row r="93">
          <cell r="B93" t="str">
            <v>27-2</v>
          </cell>
        </row>
        <row r="94">
          <cell r="B94" t="str">
            <v>27-3</v>
          </cell>
        </row>
        <row r="95">
          <cell r="B95" t="str">
            <v>27-4</v>
          </cell>
        </row>
        <row r="96">
          <cell r="B96" t="str">
            <v>28-1</v>
          </cell>
        </row>
        <row r="97">
          <cell r="B97" t="str">
            <v>29-1</v>
          </cell>
        </row>
        <row r="98">
          <cell r="B98" t="str">
            <v>29-2</v>
          </cell>
        </row>
        <row r="99">
          <cell r="B99" t="str">
            <v>29-3</v>
          </cell>
        </row>
        <row r="100">
          <cell r="B100" t="str">
            <v>29-4</v>
          </cell>
        </row>
        <row r="101">
          <cell r="B101" t="str">
            <v>30-1</v>
          </cell>
        </row>
        <row r="102">
          <cell r="B102" t="str">
            <v>30-2</v>
          </cell>
        </row>
        <row r="103">
          <cell r="B103" t="str">
            <v>30-3</v>
          </cell>
        </row>
        <row r="104">
          <cell r="B104" t="str">
            <v>30-4</v>
          </cell>
        </row>
        <row r="105">
          <cell r="B105" t="str">
            <v>31-1</v>
          </cell>
        </row>
        <row r="106">
          <cell r="B106" t="str">
            <v>31-2</v>
          </cell>
        </row>
        <row r="107">
          <cell r="B107" t="str">
            <v>31-3</v>
          </cell>
        </row>
        <row r="108">
          <cell r="B108" t="str">
            <v>32-1</v>
          </cell>
        </row>
        <row r="109">
          <cell r="B109" t="str">
            <v>32-2</v>
          </cell>
        </row>
        <row r="110">
          <cell r="B110" t="str">
            <v>32-3</v>
          </cell>
        </row>
        <row r="111">
          <cell r="B111" t="str">
            <v>32-4</v>
          </cell>
        </row>
        <row r="112">
          <cell r="B112" t="str">
            <v>33-1</v>
          </cell>
        </row>
        <row r="113">
          <cell r="B113" t="str">
            <v>34-1</v>
          </cell>
        </row>
        <row r="114">
          <cell r="B114" t="str">
            <v>34-2</v>
          </cell>
        </row>
        <row r="115">
          <cell r="B115" t="str">
            <v>34-3</v>
          </cell>
        </row>
        <row r="116">
          <cell r="B116" t="str">
            <v>34-4</v>
          </cell>
        </row>
        <row r="117">
          <cell r="B117" t="str">
            <v>34-5</v>
          </cell>
        </row>
        <row r="118">
          <cell r="B118" t="str">
            <v>34a-1</v>
          </cell>
        </row>
        <row r="119">
          <cell r="B119" t="str">
            <v>35-1</v>
          </cell>
        </row>
        <row r="120">
          <cell r="B120" t="str">
            <v>35-2</v>
          </cell>
        </row>
        <row r="121">
          <cell r="B121" t="str">
            <v>36-1</v>
          </cell>
        </row>
        <row r="122">
          <cell r="B122" t="str">
            <v>36-2</v>
          </cell>
        </row>
        <row r="123">
          <cell r="B123" t="str">
            <v>36-3</v>
          </cell>
        </row>
        <row r="124">
          <cell r="B124" t="str">
            <v>36-4</v>
          </cell>
        </row>
        <row r="125">
          <cell r="B125" t="str">
            <v>36-5</v>
          </cell>
        </row>
        <row r="126">
          <cell r="B126" t="str">
            <v>36a-1</v>
          </cell>
        </row>
        <row r="127">
          <cell r="B127" t="str">
            <v>37-1</v>
          </cell>
        </row>
        <row r="128">
          <cell r="B128" t="str">
            <v>38-1</v>
          </cell>
        </row>
        <row r="129">
          <cell r="B129" t="str">
            <v>38-2</v>
          </cell>
        </row>
        <row r="130">
          <cell r="B130" t="str">
            <v>39-1</v>
          </cell>
        </row>
        <row r="131">
          <cell r="B131" t="str">
            <v>40-1</v>
          </cell>
        </row>
        <row r="132">
          <cell r="B132" t="str">
            <v>40-2</v>
          </cell>
        </row>
        <row r="133">
          <cell r="B133" t="str">
            <v>41-1</v>
          </cell>
        </row>
        <row r="134">
          <cell r="B134" t="str">
            <v>41-2</v>
          </cell>
        </row>
        <row r="135">
          <cell r="B135" t="str">
            <v>41-3</v>
          </cell>
        </row>
        <row r="136">
          <cell r="B136" t="str">
            <v>41-4</v>
          </cell>
        </row>
        <row r="137">
          <cell r="B137" t="str">
            <v>42-1</v>
          </cell>
        </row>
        <row r="138">
          <cell r="B138" t="str">
            <v>43-1</v>
          </cell>
        </row>
        <row r="139">
          <cell r="B139" t="str">
            <v>43-2</v>
          </cell>
        </row>
        <row r="140">
          <cell r="B140" t="str">
            <v>43-3</v>
          </cell>
        </row>
        <row r="141">
          <cell r="B141" t="str">
            <v>43-4</v>
          </cell>
        </row>
        <row r="142">
          <cell r="B142" t="str">
            <v>43-5</v>
          </cell>
        </row>
        <row r="143">
          <cell r="B143" t="str">
            <v>43-6</v>
          </cell>
        </row>
        <row r="144">
          <cell r="B144" t="str">
            <v>44-1</v>
          </cell>
        </row>
        <row r="145">
          <cell r="B145" t="str">
            <v>44-2</v>
          </cell>
        </row>
        <row r="146">
          <cell r="B146" t="str">
            <v>44-3</v>
          </cell>
        </row>
        <row r="147">
          <cell r="B147" t="str">
            <v>45-1</v>
          </cell>
        </row>
        <row r="148">
          <cell r="B148" t="str">
            <v>45-2</v>
          </cell>
        </row>
        <row r="149">
          <cell r="B149" t="str">
            <v>45-3</v>
          </cell>
        </row>
        <row r="150">
          <cell r="B150" t="str">
            <v>46-1</v>
          </cell>
        </row>
        <row r="151">
          <cell r="B151" t="str">
            <v>47-1</v>
          </cell>
        </row>
        <row r="152">
          <cell r="B152" t="str">
            <v>48-1</v>
          </cell>
        </row>
        <row r="153">
          <cell r="B153" t="str">
            <v>48-2</v>
          </cell>
        </row>
        <row r="154">
          <cell r="B154" t="str">
            <v>48-3</v>
          </cell>
        </row>
        <row r="155">
          <cell r="B155" t="str">
            <v>49-1</v>
          </cell>
        </row>
        <row r="156">
          <cell r="B156" t="str">
            <v>49-2</v>
          </cell>
        </row>
        <row r="157">
          <cell r="B157" t="str">
            <v>50-1</v>
          </cell>
        </row>
        <row r="158">
          <cell r="B158" t="str">
            <v>50-2</v>
          </cell>
        </row>
        <row r="159">
          <cell r="B159" t="str">
            <v>51-1</v>
          </cell>
        </row>
        <row r="160">
          <cell r="B160" t="str">
            <v>52-1</v>
          </cell>
        </row>
        <row r="161">
          <cell r="B161" t="str">
            <v>52-2</v>
          </cell>
        </row>
        <row r="162">
          <cell r="B162" t="str">
            <v>52-3</v>
          </cell>
        </row>
        <row r="163">
          <cell r="B163" t="str">
            <v>52-4</v>
          </cell>
        </row>
        <row r="164">
          <cell r="B164" t="str">
            <v>52a-1</v>
          </cell>
        </row>
        <row r="165">
          <cell r="B165" t="str">
            <v>53-1</v>
          </cell>
        </row>
        <row r="166">
          <cell r="B166" t="str">
            <v>53-2</v>
          </cell>
        </row>
        <row r="167">
          <cell r="B167" t="str">
            <v>53-3</v>
          </cell>
        </row>
        <row r="168">
          <cell r="B168" t="str">
            <v>54-1</v>
          </cell>
        </row>
        <row r="169">
          <cell r="B169" t="str">
            <v>55-1</v>
          </cell>
        </row>
        <row r="170">
          <cell r="B170" t="str">
            <v>56-1</v>
          </cell>
        </row>
        <row r="171">
          <cell r="B171" t="str">
            <v>57-1</v>
          </cell>
        </row>
        <row r="172">
          <cell r="B172" t="str">
            <v>58-1</v>
          </cell>
        </row>
        <row r="173">
          <cell r="B173" t="str">
            <v>59-1</v>
          </cell>
        </row>
        <row r="174">
          <cell r="B174" t="str">
            <v>60-1</v>
          </cell>
        </row>
        <row r="175">
          <cell r="B175" t="str">
            <v>61-1</v>
          </cell>
        </row>
        <row r="176">
          <cell r="B176" t="str">
            <v>63-1</v>
          </cell>
        </row>
        <row r="177">
          <cell r="B177" t="str">
            <v>64-1</v>
          </cell>
        </row>
        <row r="178">
          <cell r="B178" t="str">
            <v>65-1</v>
          </cell>
        </row>
        <row r="179">
          <cell r="B179" t="str">
            <v>66-1</v>
          </cell>
        </row>
        <row r="180">
          <cell r="B180" t="str">
            <v>67-1</v>
          </cell>
        </row>
        <row r="181">
          <cell r="B181" t="str">
            <v>68-1</v>
          </cell>
        </row>
        <row r="182">
          <cell r="B182" t="str">
            <v>68-2</v>
          </cell>
        </row>
        <row r="183">
          <cell r="B183" t="str">
            <v>69-1</v>
          </cell>
        </row>
        <row r="184">
          <cell r="B184" t="str">
            <v>70-1</v>
          </cell>
        </row>
        <row r="185">
          <cell r="B185" t="str">
            <v>71-1</v>
          </cell>
        </row>
        <row r="186">
          <cell r="B186" t="str">
            <v>72-1</v>
          </cell>
        </row>
        <row r="187">
          <cell r="B187" t="str">
            <v>73-1</v>
          </cell>
        </row>
        <row r="188">
          <cell r="B188" t="str">
            <v>74-1</v>
          </cell>
        </row>
        <row r="189">
          <cell r="B189" t="str">
            <v>75-1</v>
          </cell>
        </row>
        <row r="190">
          <cell r="B190" t="str">
            <v>76-1</v>
          </cell>
        </row>
        <row r="191">
          <cell r="B191" t="str">
            <v>76-2</v>
          </cell>
        </row>
        <row r="192">
          <cell r="B192" t="str">
            <v>76a-1</v>
          </cell>
        </row>
        <row r="193">
          <cell r="B193" t="str">
            <v>77-1</v>
          </cell>
        </row>
        <row r="194">
          <cell r="B194" t="str">
            <v>78-1</v>
          </cell>
        </row>
        <row r="195">
          <cell r="B195" t="str">
            <v>78a-1</v>
          </cell>
        </row>
        <row r="196">
          <cell r="B196" t="str">
            <v>79-1</v>
          </cell>
        </row>
        <row r="197">
          <cell r="B197" t="str">
            <v>80-1</v>
          </cell>
        </row>
        <row r="198">
          <cell r="B198" t="str">
            <v>81-1</v>
          </cell>
        </row>
        <row r="199">
          <cell r="B199" t="str">
            <v>82-1</v>
          </cell>
        </row>
        <row r="200">
          <cell r="B200" t="str">
            <v>83-1</v>
          </cell>
        </row>
        <row r="201">
          <cell r="B201" t="str">
            <v>85-1</v>
          </cell>
        </row>
        <row r="202">
          <cell r="B202" t="str">
            <v>86-1</v>
          </cell>
        </row>
        <row r="203">
          <cell r="B203" t="str">
            <v>87-1</v>
          </cell>
        </row>
        <row r="204">
          <cell r="B204" t="str">
            <v>88-1</v>
          </cell>
        </row>
        <row r="205">
          <cell r="B205" t="str">
            <v>89-1</v>
          </cell>
        </row>
        <row r="206">
          <cell r="B206" t="str">
            <v>90-1</v>
          </cell>
        </row>
        <row r="207">
          <cell r="B207" t="str">
            <v>91-1</v>
          </cell>
        </row>
        <row r="208">
          <cell r="B208" t="str">
            <v>92-1</v>
          </cell>
        </row>
        <row r="209">
          <cell r="B209" t="str">
            <v>93-1</v>
          </cell>
        </row>
        <row r="210">
          <cell r="B210" t="str">
            <v>94-1</v>
          </cell>
        </row>
        <row r="211">
          <cell r="B211" t="str">
            <v>95-1</v>
          </cell>
        </row>
        <row r="212">
          <cell r="B212" t="str">
            <v>201</v>
          </cell>
        </row>
        <row r="213">
          <cell r="B213" t="str">
            <v>202</v>
          </cell>
        </row>
        <row r="214">
          <cell r="B214" t="str">
            <v>204a</v>
          </cell>
        </row>
        <row r="215">
          <cell r="B215" t="str">
            <v>204b</v>
          </cell>
        </row>
        <row r="216">
          <cell r="B216" t="str">
            <v>205</v>
          </cell>
        </row>
        <row r="217">
          <cell r="B217" t="str">
            <v>206</v>
          </cell>
        </row>
        <row r="218">
          <cell r="B218" t="str">
            <v>208</v>
          </cell>
        </row>
        <row r="219">
          <cell r="B219" t="str">
            <v>209</v>
          </cell>
        </row>
        <row r="220">
          <cell r="B220" t="str">
            <v>210</v>
          </cell>
        </row>
        <row r="221">
          <cell r="B221" t="str">
            <v>211</v>
          </cell>
        </row>
        <row r="222">
          <cell r="B222" t="str">
            <v>212</v>
          </cell>
        </row>
        <row r="223">
          <cell r="B223" t="str">
            <v>213</v>
          </cell>
        </row>
        <row r="224">
          <cell r="B224" t="str">
            <v>214</v>
          </cell>
        </row>
        <row r="225">
          <cell r="B225" t="str">
            <v>215</v>
          </cell>
        </row>
        <row r="226">
          <cell r="B226" t="str">
            <v>216</v>
          </cell>
        </row>
        <row r="227">
          <cell r="B227" t="str">
            <v>217</v>
          </cell>
        </row>
        <row r="228">
          <cell r="B228" t="str">
            <v>218</v>
          </cell>
        </row>
        <row r="229">
          <cell r="B229" t="str">
            <v>219</v>
          </cell>
        </row>
        <row r="230">
          <cell r="B230" t="str">
            <v>221</v>
          </cell>
        </row>
        <row r="231">
          <cell r="B231" t="str">
            <v>222</v>
          </cell>
        </row>
        <row r="232">
          <cell r="B232" t="str">
            <v>223</v>
          </cell>
        </row>
        <row r="233">
          <cell r="B233" t="str">
            <v>224</v>
          </cell>
        </row>
        <row r="234">
          <cell r="B234" t="str">
            <v>225</v>
          </cell>
        </row>
        <row r="235">
          <cell r="B235" t="str">
            <v>226</v>
          </cell>
        </row>
        <row r="236">
          <cell r="B236" t="str">
            <v>227</v>
          </cell>
        </row>
      </sheetData>
      <sheetData sheetId="3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00"/>
  </sheetPr>
  <dimension ref="A1:F42"/>
  <sheetViews>
    <sheetView tabSelected="1" workbookViewId="0">
      <selection activeCell="F22" sqref="F22"/>
    </sheetView>
  </sheetViews>
  <sheetFormatPr defaultRowHeight="15" x14ac:dyDescent="0.25"/>
  <cols>
    <col min="1" max="1" width="52.85546875" bestFit="1" customWidth="1"/>
    <col min="2" max="2" width="22" customWidth="1"/>
    <col min="3" max="3" width="18.85546875" customWidth="1"/>
    <col min="6" max="6" width="9.140625" style="6"/>
  </cols>
  <sheetData>
    <row r="1" spans="1:6" s="5" customFormat="1" x14ac:dyDescent="0.25">
      <c r="A1" s="4" t="s">
        <v>25</v>
      </c>
      <c r="B1" s="5" t="s">
        <v>26</v>
      </c>
      <c r="F1" s="6"/>
    </row>
    <row r="2" spans="1:6" s="5" customFormat="1" x14ac:dyDescent="0.25">
      <c r="A2" s="4"/>
      <c r="F2" s="6"/>
    </row>
    <row r="3" spans="1:6" s="5" customFormat="1" ht="15.75" thickBot="1" x14ac:dyDescent="0.3">
      <c r="A3" s="4" t="s">
        <v>23</v>
      </c>
      <c r="F3" s="6"/>
    </row>
    <row r="4" spans="1:6" x14ac:dyDescent="0.25">
      <c r="A4" s="8" t="s">
        <v>16</v>
      </c>
      <c r="B4" s="36" t="s">
        <v>1</v>
      </c>
      <c r="C4" s="12"/>
      <c r="D4" s="12"/>
      <c r="E4" s="13"/>
    </row>
    <row r="5" spans="1:6" x14ac:dyDescent="0.25">
      <c r="A5" s="9" t="s">
        <v>24</v>
      </c>
      <c r="B5" s="25">
        <v>17526.830000000002</v>
      </c>
      <c r="C5" s="2"/>
      <c r="D5" s="2"/>
      <c r="E5" s="23"/>
    </row>
    <row r="6" spans="1:6" ht="15.75" thickBot="1" x14ac:dyDescent="0.3">
      <c r="A6" s="10" t="s">
        <v>0</v>
      </c>
      <c r="B6" s="18" t="s">
        <v>2</v>
      </c>
      <c r="C6" s="18"/>
      <c r="D6" s="18"/>
      <c r="E6" s="7"/>
    </row>
    <row r="7" spans="1:6" s="5" customFormat="1" x14ac:dyDescent="0.25">
      <c r="A7" s="4"/>
      <c r="B7" s="3"/>
      <c r="F7" s="6"/>
    </row>
    <row r="8" spans="1:6" ht="15.75" thickBot="1" x14ac:dyDescent="0.3">
      <c r="A8" s="4" t="s">
        <v>5</v>
      </c>
    </row>
    <row r="9" spans="1:6" x14ac:dyDescent="0.25">
      <c r="A9" s="11" t="s">
        <v>4</v>
      </c>
      <c r="B9" s="12" t="s">
        <v>3</v>
      </c>
      <c r="C9" s="12"/>
      <c r="D9" s="12"/>
      <c r="E9" s="13"/>
    </row>
    <row r="10" spans="1:6" x14ac:dyDescent="0.25">
      <c r="A10" s="14" t="s">
        <v>10</v>
      </c>
      <c r="B10" s="1">
        <v>3000</v>
      </c>
      <c r="C10" s="15" t="s">
        <v>12</v>
      </c>
      <c r="D10" s="21">
        <v>3.3333333333333332E-4</v>
      </c>
      <c r="E10" s="16" t="s">
        <v>11</v>
      </c>
    </row>
    <row r="11" spans="1:6" x14ac:dyDescent="0.25">
      <c r="A11" s="14" t="s">
        <v>13</v>
      </c>
      <c r="B11" s="2">
        <v>1000</v>
      </c>
      <c r="C11" s="15" t="s">
        <v>12</v>
      </c>
      <c r="D11" s="21">
        <v>1E-3</v>
      </c>
      <c r="E11" s="16" t="s">
        <v>11</v>
      </c>
    </row>
    <row r="12" spans="1:6" x14ac:dyDescent="0.25">
      <c r="A12" s="14" t="s">
        <v>15</v>
      </c>
      <c r="B12" s="24" t="s">
        <v>22</v>
      </c>
      <c r="C12" s="15" t="s">
        <v>12</v>
      </c>
      <c r="D12" s="21" t="s">
        <v>22</v>
      </c>
      <c r="E12" s="16" t="s">
        <v>11</v>
      </c>
    </row>
    <row r="13" spans="1:6" ht="15.75" thickBot="1" x14ac:dyDescent="0.3">
      <c r="A13" s="17" t="s">
        <v>14</v>
      </c>
      <c r="B13" s="18" t="s">
        <v>22</v>
      </c>
      <c r="C13" s="19" t="s">
        <v>12</v>
      </c>
      <c r="D13" s="22" t="s">
        <v>22</v>
      </c>
      <c r="E13" s="20" t="s">
        <v>11</v>
      </c>
    </row>
    <row r="15" spans="1:6" ht="15.75" thickBot="1" x14ac:dyDescent="0.3">
      <c r="A15" s="4" t="s">
        <v>17</v>
      </c>
    </row>
    <row r="16" spans="1:6" x14ac:dyDescent="0.25">
      <c r="A16" s="26" t="s">
        <v>6</v>
      </c>
      <c r="B16" s="27" t="s">
        <v>9</v>
      </c>
      <c r="C16" s="28" t="s">
        <v>8</v>
      </c>
    </row>
    <row r="17" spans="1:3" x14ac:dyDescent="0.25">
      <c r="A17" s="33" t="s">
        <v>7</v>
      </c>
      <c r="B17" s="34">
        <v>0</v>
      </c>
      <c r="C17" s="29">
        <f>1/30*$D$10</f>
        <v>1.111111111111111E-5</v>
      </c>
    </row>
    <row r="18" spans="1:3" x14ac:dyDescent="0.25">
      <c r="A18" s="33" t="s">
        <v>18</v>
      </c>
      <c r="B18" s="30">
        <f>C17</f>
        <v>1.111111111111111E-5</v>
      </c>
      <c r="C18" s="29">
        <f>$D$10</f>
        <v>3.3333333333333332E-4</v>
      </c>
    </row>
    <row r="19" spans="1:3" x14ac:dyDescent="0.25">
      <c r="A19" s="33" t="s">
        <v>19</v>
      </c>
      <c r="B19" s="30">
        <f>C18</f>
        <v>3.3333333333333332E-4</v>
      </c>
      <c r="C19" s="29">
        <f>$D$11</f>
        <v>1E-3</v>
      </c>
    </row>
    <row r="20" spans="1:3" x14ac:dyDescent="0.25">
      <c r="A20" s="33" t="s">
        <v>20</v>
      </c>
      <c r="B20" s="30">
        <f>C19</f>
        <v>1E-3</v>
      </c>
      <c r="C20" s="29">
        <f>30*$D$11</f>
        <v>0.03</v>
      </c>
    </row>
    <row r="21" spans="1:3" ht="15.75" thickBot="1" x14ac:dyDescent="0.3">
      <c r="A21" s="35" t="s">
        <v>21</v>
      </c>
      <c r="B21" s="31">
        <f>C20</f>
        <v>0.03</v>
      </c>
      <c r="C21" s="32">
        <v>1</v>
      </c>
    </row>
    <row r="22" spans="1:3" x14ac:dyDescent="0.25">
      <c r="A22" s="5"/>
      <c r="B22" s="5"/>
      <c r="C22" s="5"/>
    </row>
    <row r="23" spans="1:3" x14ac:dyDescent="0.25">
      <c r="A23" s="5"/>
      <c r="B23" s="5"/>
      <c r="C23" s="5"/>
    </row>
    <row r="24" spans="1:3" x14ac:dyDescent="0.25">
      <c r="A24" s="4" t="s">
        <v>27</v>
      </c>
      <c r="B24" s="5"/>
      <c r="C24" s="5"/>
    </row>
    <row r="25" spans="1:3" x14ac:dyDescent="0.25">
      <c r="A25" s="5"/>
      <c r="B25" s="5"/>
      <c r="C25" s="5"/>
    </row>
    <row r="26" spans="1:3" x14ac:dyDescent="0.25">
      <c r="A26" s="5"/>
      <c r="B26" s="5"/>
      <c r="C26" s="5"/>
    </row>
    <row r="27" spans="1:3" x14ac:dyDescent="0.25">
      <c r="A27" s="5"/>
      <c r="B27" s="5"/>
      <c r="C27" s="5"/>
    </row>
    <row r="28" spans="1:3" x14ac:dyDescent="0.25">
      <c r="A28" s="5"/>
      <c r="B28" s="5"/>
      <c r="C28" s="5"/>
    </row>
    <row r="29" spans="1:3" x14ac:dyDescent="0.25">
      <c r="A29" s="5"/>
      <c r="B29" s="5"/>
      <c r="C29" s="5"/>
    </row>
    <row r="30" spans="1:3" x14ac:dyDescent="0.25">
      <c r="A30" s="5"/>
      <c r="B30" s="5"/>
      <c r="C30" s="5"/>
    </row>
    <row r="31" spans="1:3" x14ac:dyDescent="0.25">
      <c r="A31" s="5"/>
      <c r="B31" s="5"/>
      <c r="C31" s="5"/>
    </row>
    <row r="32" spans="1:3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  <row r="42" spans="1:3" x14ac:dyDescent="0.25">
      <c r="A42" s="5"/>
      <c r="B42" s="5"/>
      <c r="C42" s="5"/>
    </row>
  </sheetData>
  <conditionalFormatting sqref="A17">
    <cfRule type="cellIs" dxfId="11" priority="18" operator="equal">
      <formula>"D"</formula>
    </cfRule>
  </conditionalFormatting>
  <conditionalFormatting sqref="A17">
    <cfRule type="cellIs" dxfId="10" priority="17" operator="equal">
      <formula>"C"</formula>
    </cfRule>
  </conditionalFormatting>
  <conditionalFormatting sqref="A17">
    <cfRule type="cellIs" dxfId="9" priority="14" operator="equal">
      <formula>"A+"</formula>
    </cfRule>
    <cfRule type="cellIs" dxfId="8" priority="15" operator="equal">
      <formula>"A"</formula>
    </cfRule>
    <cfRule type="cellIs" dxfId="7" priority="16" operator="equal">
      <formula>"B"</formula>
    </cfRule>
  </conditionalFormatting>
  <conditionalFormatting sqref="A18:A21">
    <cfRule type="cellIs" dxfId="6" priority="13" operator="equal">
      <formula>"D"</formula>
    </cfRule>
  </conditionalFormatting>
  <conditionalFormatting sqref="A18:A21">
    <cfRule type="cellIs" dxfId="5" priority="12" operator="equal">
      <formula>"C"</formula>
    </cfRule>
  </conditionalFormatting>
  <conditionalFormatting sqref="A18:A21">
    <cfRule type="cellIs" dxfId="4" priority="9" operator="equal">
      <formula>"A+"</formula>
    </cfRule>
    <cfRule type="cellIs" dxfId="3" priority="10" operator="equal">
      <formula>"A"</formula>
    </cfRule>
    <cfRule type="cellIs" dxfId="2" priority="11" operator="equal">
      <formula>"B"</formula>
    </cfRule>
  </conditionalFormatting>
  <conditionalFormatting sqref="B10">
    <cfRule type="expression" dxfId="1" priority="2">
      <formula>$B$10=0</formula>
    </cfRule>
  </conditionalFormatting>
  <conditionalFormatting sqref="D10">
    <cfRule type="expression" dxfId="0" priority="1">
      <formula>$B$10=0</formula>
    </cfRule>
  </conditionalFormatting>
  <dataValidations count="1">
    <dataValidation type="list" allowBlank="1" showInputMessage="1" showErrorMessage="1" sqref="B4" xr:uid="{00000000-0002-0000-0200-000000000000}">
      <formula1>#REF!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037DA974EFBF448A9BF2500D419418" ma:contentTypeVersion="8" ma:contentTypeDescription="Create a new document." ma:contentTypeScope="" ma:versionID="808157e936672d8b930864b1d1ece761">
  <xsd:schema xmlns:xsd="http://www.w3.org/2001/XMLSchema" xmlns:xs="http://www.w3.org/2001/XMLSchema" xmlns:p="http://schemas.microsoft.com/office/2006/metadata/properties" xmlns:ns3="0ff5b8ba-c54c-4d86-8424-2f5dabb73153" targetNamespace="http://schemas.microsoft.com/office/2006/metadata/properties" ma:root="true" ma:fieldsID="2dd9e99d771e86046a09d0b4beb2539c" ns3:_="">
    <xsd:import namespace="0ff5b8ba-c54c-4d86-8424-2f5dabb7315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5b8ba-c54c-4d86-8424-2f5dabb731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D95CE4-E9E9-4B00-9235-CB536019E252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ff5b8ba-c54c-4d86-8424-2f5dabb7315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B59E648-5EAB-49D0-9D7F-2FA6EDD4DC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2C78E5-17EB-4AB8-B9CD-13632CC110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f5b8ba-c54c-4d86-8424-2f5dabb731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Trajectgegevens</vt:lpstr>
    </vt:vector>
  </TitlesOfParts>
  <Company>Stichting Deltares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 Sun Lam</dc:creator>
  <cp:lastModifiedBy>Pieter van Geer</cp:lastModifiedBy>
  <cp:lastPrinted>2019-10-24T06:37:34Z</cp:lastPrinted>
  <dcterms:created xsi:type="dcterms:W3CDTF">2016-08-26T10:45:27Z</dcterms:created>
  <dcterms:modified xsi:type="dcterms:W3CDTF">2019-10-24T13:41:34Z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0x0101005F037DA974EFBF448A9BF2500D419418</vt:lpwstr>
  </property>
</Properties>
</file>